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telles\Documents\GitHub\Treadmill-Interface\ESP32-S2-REV-TFT\"/>
    </mc:Choice>
  </mc:AlternateContent>
  <xr:revisionPtr revIDLastSave="0" documentId="13_ncr:1_{7450101B-4A80-48A1-A0F8-2C4A12CC7C01}" xr6:coauthVersionLast="47" xr6:coauthVersionMax="47" xr10:uidLastSave="{00000000-0000-0000-0000-000000000000}"/>
  <bookViews>
    <workbookView xWindow="7590" yWindow="540" windowWidth="25215" windowHeight="14850" xr2:uid="{416FB7B0-818F-482A-B6F8-C23829542AFB}"/>
  </bookViews>
  <sheets>
    <sheet name="EncLickDrv_J0104132C-ESPrev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<sst xmlns="http://schemas.openxmlformats.org/spreadsheetml/2006/main" count="99" uniqueCount="86">
  <si>
    <t>Partlist exported from Z:/ID&amp;F/TreadmillWithLick/EncoderLickDriver/ECAD/EncLickDrv_J0104132C-ESPrevB.sch at 7/21/2025 11:48 AM</t>
  </si>
  <si>
    <t>Qty</t>
  </si>
  <si>
    <t>Value</t>
  </si>
  <si>
    <t>Device</t>
  </si>
  <si>
    <t xml:space="preserve"> Designators</t>
  </si>
  <si>
    <t xml:space="preserve"> Manufacturer</t>
  </si>
  <si>
    <t xml:space="preserve"> Man PN</t>
  </si>
  <si>
    <t xml:space="preserve"> Vendor</t>
  </si>
  <si>
    <t xml:space="preserve"> Vendor PN</t>
  </si>
  <si>
    <t xml:space="preserve"> $ea</t>
  </si>
  <si>
    <t xml:space="preserve"> $Total</t>
  </si>
  <si>
    <t xml:space="preserve"> Notes</t>
  </si>
  <si>
    <t>CON5104361-4</t>
  </si>
  <si>
    <t>J7</t>
  </si>
  <si>
    <t>CON21881558</t>
  </si>
  <si>
    <t>J3 J4 J6</t>
  </si>
  <si>
    <t>CON81844743</t>
  </si>
  <si>
    <t>J5</t>
  </si>
  <si>
    <t>DIODE_SCHOTTKYPWRDI-123</t>
  </si>
  <si>
    <t>D1 D2</t>
  </si>
  <si>
    <t>POWER_JACK_SHUNTPJ-002</t>
  </si>
  <si>
    <t>J1</t>
  </si>
  <si>
    <t>0 ohm</t>
  </si>
  <si>
    <t>RESISTOR_SM0805S</t>
  </si>
  <si>
    <t>R1</t>
  </si>
  <si>
    <t>CAPS0603S</t>
  </si>
  <si>
    <t>C2 C4 C5</t>
  </si>
  <si>
    <t>0.1 NPO</t>
  </si>
  <si>
    <t>CAPS1206S</t>
  </si>
  <si>
    <t>C1</t>
  </si>
  <si>
    <t>2G17</t>
  </si>
  <si>
    <t>U4</t>
  </si>
  <si>
    <t>R3 R4</t>
  </si>
  <si>
    <t>53048-05</t>
  </si>
  <si>
    <t>J2</t>
  </si>
  <si>
    <t>ESP32=S2-REV-TFT-NO16-21</t>
  </si>
  <si>
    <t>M1</t>
  </si>
  <si>
    <t>RELAY_SSR</t>
  </si>
  <si>
    <t>U2 U3</t>
  </si>
  <si>
    <t>TLV9301</t>
  </si>
  <si>
    <t>AD8065RT</t>
  </si>
  <si>
    <t>U1</t>
  </si>
  <si>
    <t>CUI</t>
  </si>
  <si>
    <t xml:space="preserve">PJ-002BH-SMT-TR </t>
  </si>
  <si>
    <t>Diodes Inc</t>
  </si>
  <si>
    <t>DFLS240-7</t>
  </si>
  <si>
    <t>DK</t>
  </si>
  <si>
    <t>DFLS240-7DIDKR-ND</t>
  </si>
  <si>
    <t>Kemet</t>
  </si>
  <si>
    <t>C0603C104K5RACTU</t>
  </si>
  <si>
    <t>IXYS</t>
  </si>
  <si>
    <t>CPC1014N</t>
  </si>
  <si>
    <t>Analog Devices</t>
  </si>
  <si>
    <t>AD8603AUJZ-REEL</t>
  </si>
  <si>
    <t>TI</t>
  </si>
  <si>
    <t>SN74LVC2G17DBVR</t>
  </si>
  <si>
    <t>Molex</t>
  </si>
  <si>
    <t>C1206C104J4GACAUTO</t>
  </si>
  <si>
    <t xml:space="preserve">Phoenix Contact </t>
  </si>
  <si>
    <t>Adafruit</t>
  </si>
  <si>
    <t xml:space="preserve">5-104361-4 </t>
  </si>
  <si>
    <t>TE</t>
  </si>
  <si>
    <t>Phoenix</t>
  </si>
  <si>
    <t>Mate for 1991558</t>
  </si>
  <si>
    <t>RES SMD 10K OHM 1% 1/8W 0805</t>
  </si>
  <si>
    <t>10K0 ohm</t>
  </si>
  <si>
    <t>R2 R5</t>
  </si>
  <si>
    <t>Bourns</t>
  </si>
  <si>
    <t>CR0805-FX-1002ELF</t>
  </si>
  <si>
    <t>CR0805-FX-1002ELFCT-ND</t>
  </si>
  <si>
    <t>RES SMD 909 OHM 1% 1/8W 0805</t>
  </si>
  <si>
    <t>Stackpole Electronics Inc</t>
  </si>
  <si>
    <t>RMCF0805FT909R</t>
  </si>
  <si>
    <t>RMCF0805FT909RCT-ND</t>
  </si>
  <si>
    <t>CR0805-J/-000ELF</t>
  </si>
  <si>
    <t>Bournes</t>
  </si>
  <si>
    <t>CR0805-J/-000ELFCT-ND</t>
  </si>
  <si>
    <t>900-0530480560-ND</t>
  </si>
  <si>
    <t>TOTAL</t>
  </si>
  <si>
    <t>BOARD design can be found at:</t>
  </si>
  <si>
    <t>https://oshpark.com/shared_projects/oZUU0shd</t>
  </si>
  <si>
    <t>Alternate</t>
  </si>
  <si>
    <t>CONN HEADER R/A 5POS 2.54MM</t>
  </si>
  <si>
    <t>5-104361-4</t>
  </si>
  <si>
    <t>A33964-ND</t>
  </si>
  <si>
    <t>5 pin header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</si>
</sst>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A2C-E311-4CCC-8F5B-171C8FA56A01}">
  <dimension ref="A1:K23"/>
  <sheetViews>
    <sheetView tabSelected="1" workbookViewId="0">
      <selection activeCell="B20" sqref="B20"/>
    </sheetView>
  </sheetViews>
  <sheetFormatPr defaultRowHeight="15" x14ac:dyDescent="0.25"/>
  <cols>
    <col min="2" max="2" width="25" customWidth="1"/>
    <col min="3" max="3" width="33.85546875" customWidth="1"/>
    <col min="4" max="4" width="24.42578125" customWidth="1"/>
    <col min="5" max="5" width="15.28515625" customWidth="1"/>
    <col min="6" max="6" width="17.85546875" customWidth="1"/>
    <col min="8" max="8" width="20.7109375" customWidth="1"/>
    <col min="9" max="9" width="9.140625" style="1"/>
  </cols>
  <sheetData>
    <row r="1" spans="1:11" x14ac:dyDescent="0.25">
      <c r="A1" t="s">
        <v>0</v>
      </c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s="1" t="s">
        <v>9</v>
      </c>
      <c r="J3" t="s">
        <v>10</v>
      </c>
      <c r="K3" t="s">
        <v>11</v>
      </c>
    </row>
    <row r="4" spans="1:11" x14ac:dyDescent="0.25">
      <c r="A4">
        <v>1</v>
      </c>
      <c r="C4" t="s">
        <v>12</v>
      </c>
      <c r="D4" t="s">
        <v>13</v>
      </c>
      <c r="E4" t="s">
        <v>61</v>
      </c>
      <c r="F4" t="s">
        <v>60</v>
      </c>
    </row>
    <row r="5" spans="1:11" x14ac:dyDescent="0.25">
      <c r="A5">
        <v>3</v>
      </c>
      <c r="C5" t="s">
        <v>14</v>
      </c>
      <c r="D5" t="s">
        <v>15</v>
      </c>
      <c r="E5" t="s">
        <v>58</v>
      </c>
      <c r="F5">
        <v>1881558</v>
      </c>
      <c r="I5" s="1">
        <v>1.05</v>
      </c>
    </row>
    <row r="6" spans="1:11" x14ac:dyDescent="0.25">
      <c r="A6">
        <v>1</v>
      </c>
      <c r="C6" t="s">
        <v>16</v>
      </c>
      <c r="D6" t="s">
        <v>17</v>
      </c>
      <c r="E6" t="s">
        <v>58</v>
      </c>
      <c r="F6">
        <v>1848668</v>
      </c>
      <c r="I6" s="1">
        <v>7.75</v>
      </c>
    </row>
    <row r="7" spans="1:11" x14ac:dyDescent="0.25">
      <c r="A7">
        <v>2</v>
      </c>
      <c r="C7" t="s">
        <v>18</v>
      </c>
      <c r="D7" t="s">
        <v>19</v>
      </c>
      <c r="E7" s="2" t="s">
        <v>44</v>
      </c>
      <c r="F7" s="2" t="s">
        <v>45</v>
      </c>
      <c r="G7" s="3" t="s">
        <v>46</v>
      </c>
      <c r="H7" t="s">
        <v>47</v>
      </c>
      <c r="I7" s="4">
        <v>0.25</v>
      </c>
    </row>
    <row r="8" spans="1:11" x14ac:dyDescent="0.25">
      <c r="A8">
        <v>1</v>
      </c>
      <c r="C8" t="s">
        <v>20</v>
      </c>
      <c r="D8" t="s">
        <v>21</v>
      </c>
      <c r="E8" t="s">
        <v>42</v>
      </c>
      <c r="F8" t="s">
        <v>43</v>
      </c>
      <c r="I8" s="1">
        <v>1.31</v>
      </c>
    </row>
    <row r="9" spans="1:11" x14ac:dyDescent="0.25">
      <c r="A9">
        <v>1</v>
      </c>
      <c r="B9" t="s">
        <v>22</v>
      </c>
      <c r="C9" t="s">
        <v>23</v>
      </c>
      <c r="D9" t="s">
        <v>24</v>
      </c>
      <c r="E9" t="s">
        <v>75</v>
      </c>
      <c r="F9" t="s">
        <v>74</v>
      </c>
      <c r="G9" t="s">
        <v>46</v>
      </c>
      <c r="H9" t="s">
        <v>76</v>
      </c>
      <c r="I9" s="1">
        <v>0.1</v>
      </c>
    </row>
    <row r="10" spans="1:11" x14ac:dyDescent="0.25">
      <c r="A10">
        <v>3</v>
      </c>
      <c r="B10">
        <v>0.1</v>
      </c>
      <c r="C10" t="s">
        <v>25</v>
      </c>
      <c r="D10" t="s">
        <v>26</v>
      </c>
      <c r="E10" t="s">
        <v>48</v>
      </c>
      <c r="F10" t="s">
        <v>49</v>
      </c>
      <c r="I10" s="1">
        <v>0.11</v>
      </c>
    </row>
    <row r="11" spans="1:11" x14ac:dyDescent="0.25">
      <c r="A11">
        <v>1</v>
      </c>
      <c r="B11" t="s">
        <v>27</v>
      </c>
      <c r="C11" t="s">
        <v>28</v>
      </c>
      <c r="D11" t="s">
        <v>29</v>
      </c>
      <c r="E11" t="s">
        <v>48</v>
      </c>
      <c r="F11" t="s">
        <v>57</v>
      </c>
      <c r="I11" s="1">
        <v>1.54</v>
      </c>
    </row>
    <row r="12" spans="1:11" x14ac:dyDescent="0.25">
      <c r="A12">
        <v>1</v>
      </c>
      <c r="B12" t="s">
        <v>30</v>
      </c>
      <c r="C12" t="s">
        <v>30</v>
      </c>
      <c r="D12" t="s">
        <v>31</v>
      </c>
      <c r="E12" t="s">
        <v>54</v>
      </c>
      <c r="F12" t="s">
        <v>55</v>
      </c>
      <c r="I12" s="1">
        <v>0.4</v>
      </c>
    </row>
    <row r="13" spans="1:11" x14ac:dyDescent="0.25">
      <c r="A13">
        <v>2</v>
      </c>
      <c r="B13">
        <v>909</v>
      </c>
      <c r="C13" t="s">
        <v>70</v>
      </c>
      <c r="D13" t="s">
        <v>32</v>
      </c>
      <c r="E13" t="s">
        <v>71</v>
      </c>
      <c r="F13" t="s">
        <v>72</v>
      </c>
      <c r="G13" t="s">
        <v>46</v>
      </c>
      <c r="H13" t="s">
        <v>73</v>
      </c>
      <c r="I13" s="1">
        <v>0.1</v>
      </c>
    </row>
    <row r="14" spans="1:11" x14ac:dyDescent="0.25">
      <c r="A14">
        <v>1</v>
      </c>
      <c r="B14" t="s">
        <v>33</v>
      </c>
      <c r="C14" t="s">
        <v>33</v>
      </c>
      <c r="D14" t="s">
        <v>34</v>
      </c>
      <c r="E14" t="s">
        <v>56</v>
      </c>
      <c r="F14">
        <v>530480560</v>
      </c>
      <c r="G14" t="s">
        <v>46</v>
      </c>
      <c r="H14" t="s">
        <v>77</v>
      </c>
      <c r="I14" s="1">
        <v>0.67</v>
      </c>
    </row>
    <row r="15" spans="1:11" x14ac:dyDescent="0.25">
      <c r="A15">
        <v>1</v>
      </c>
      <c r="B15" t="s">
        <v>35</v>
      </c>
      <c r="C15" t="s">
        <v>35</v>
      </c>
      <c r="D15" t="s">
        <v>36</v>
      </c>
      <c r="E15" t="s">
        <v>59</v>
      </c>
      <c r="F15">
        <v>5345</v>
      </c>
      <c r="I15" s="1">
        <v>24.95</v>
      </c>
    </row>
    <row r="16" spans="1:11" x14ac:dyDescent="0.25">
      <c r="A16">
        <v>2</v>
      </c>
      <c r="B16" t="s">
        <v>37</v>
      </c>
      <c r="C16" t="s">
        <v>37</v>
      </c>
      <c r="D16" t="s">
        <v>38</v>
      </c>
      <c r="E16" t="s">
        <v>50</v>
      </c>
      <c r="F16" t="s">
        <v>51</v>
      </c>
      <c r="I16" s="1">
        <v>1.25</v>
      </c>
    </row>
    <row r="17" spans="1:10" x14ac:dyDescent="0.25">
      <c r="A17">
        <v>1</v>
      </c>
      <c r="B17" t="s">
        <v>39</v>
      </c>
      <c r="C17" t="s">
        <v>40</v>
      </c>
      <c r="D17" t="s">
        <v>41</v>
      </c>
      <c r="E17" t="s">
        <v>52</v>
      </c>
      <c r="F17" t="s">
        <v>53</v>
      </c>
      <c r="I17" s="1">
        <v>2.62</v>
      </c>
    </row>
    <row r="18" spans="1:10" x14ac:dyDescent="0.25">
      <c r="A18">
        <v>2</v>
      </c>
      <c r="B18" t="s">
        <v>65</v>
      </c>
      <c r="C18" t="s">
        <v>64</v>
      </c>
      <c r="D18" t="s">
        <v>66</v>
      </c>
      <c r="E18" t="s">
        <v>67</v>
      </c>
      <c r="F18" t="s">
        <v>68</v>
      </c>
      <c r="G18" t="s">
        <v>46</v>
      </c>
      <c r="H18" t="s">
        <v>69</v>
      </c>
      <c r="I18" s="1">
        <v>0.1</v>
      </c>
    </row>
    <row r="19" spans="1:10" x14ac:dyDescent="0.25">
      <c r="C19" t="s">
        <v>63</v>
      </c>
      <c r="E19" t="s">
        <v>62</v>
      </c>
      <c r="F19">
        <v>1881325</v>
      </c>
      <c r="I19" s="1">
        <v>2.8</v>
      </c>
    </row>
    <row r="20" spans="1:10" x14ac:dyDescent="0.25">
      <c r="A20">
        <v>1</v>
      </c>
      <c r="B20" t="s">
        <v>85</v>
      </c>
      <c r="C20" t="s">
        <v>82</v>
      </c>
      <c r="D20" t="s">
        <v>34</v>
      </c>
      <c r="E20" t="s">
        <v>61</v>
      </c>
      <c r="F20" t="s">
        <v>83</v>
      </c>
      <c r="G20" t="s">
        <v>46</v>
      </c>
      <c r="H20" t="s">
        <v>84</v>
      </c>
      <c r="I20" s="1">
        <v>1.74</v>
      </c>
      <c r="J20" t="s">
        <v>81</v>
      </c>
    </row>
    <row r="21" spans="1:10" x14ac:dyDescent="0.25">
      <c r="H21" t="s">
        <v>78</v>
      </c>
      <c r="I21" s="1">
        <f>SUM(I4:I20)</f>
        <v>46.739999999999995</v>
      </c>
    </row>
    <row r="22" spans="1:10" x14ac:dyDescent="0.25">
      <c r="C22" t="s">
        <v>79</v>
      </c>
    </row>
    <row r="23" spans="1:10" x14ac:dyDescent="0.25">
      <c r="C2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EncLickDrv_J0104132C-ESPrevB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Sawtelle, Steven</cp:lastModifiedBy>
  <dcterms:created xsi:type="dcterms:W3CDTF">2025-07-21T16:59:54Z</dcterms:created>
  <dcterms:modified xsi:type="dcterms:W3CDTF">2026-08-05T18:05:50Z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2026-07-27T17:56:53Z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c4727575-d208-4a39-a902-dce62ca23eb9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